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.pallero.gomez\Desktop\onyria-presupuestos\onyria-presupuestos\server\templates\"/>
    </mc:Choice>
  </mc:AlternateContent>
  <xr:revisionPtr revIDLastSave="0" documentId="13_ncr:1_{2A3B1312-0F5E-466B-BA76-0A4AA7FD472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6 MEses" sheetId="1" r:id="rId1"/>
  </sheets>
  <definedNames>
    <definedName name="unidad">#REF!</definedName>
    <definedName name="unid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D64" i="1"/>
  <c r="D65" i="1"/>
  <c r="D51" i="1"/>
  <c r="D63" i="1"/>
  <c r="I4" i="1"/>
  <c r="D62" i="1"/>
  <c r="D61" i="1"/>
  <c r="D60" i="1"/>
  <c r="D59" i="1"/>
  <c r="D50" i="1"/>
  <c r="D49" i="1"/>
  <c r="D48" i="1"/>
  <c r="D47" i="1"/>
  <c r="D46" i="1"/>
  <c r="D45" i="1"/>
  <c r="D44" i="1"/>
  <c r="D43" i="1"/>
  <c r="D36" i="1"/>
  <c r="E36" i="1" s="1"/>
  <c r="J35" i="1"/>
  <c r="K35" i="1" s="1"/>
  <c r="D35" i="1"/>
  <c r="E35" i="1" s="1"/>
  <c r="J34" i="1"/>
  <c r="K34" i="1" s="1"/>
  <c r="D34" i="1"/>
  <c r="E34" i="1" s="1"/>
  <c r="J33" i="1"/>
  <c r="K33" i="1" s="1"/>
  <c r="D33" i="1"/>
  <c r="E33" i="1" s="1"/>
  <c r="J32" i="1"/>
  <c r="K32" i="1" s="1"/>
  <c r="D32" i="1"/>
  <c r="E32" i="1" s="1"/>
  <c r="J31" i="1"/>
  <c r="K31" i="1" s="1"/>
  <c r="D31" i="1"/>
  <c r="E31" i="1" s="1"/>
  <c r="J30" i="1"/>
  <c r="K30" i="1" s="1"/>
  <c r="D30" i="1"/>
  <c r="E30" i="1" s="1"/>
  <c r="J29" i="1"/>
  <c r="K29" i="1" s="1"/>
  <c r="D29" i="1"/>
  <c r="E29" i="1" s="1"/>
  <c r="J28" i="1"/>
  <c r="K28" i="1" s="1"/>
  <c r="D28" i="1"/>
  <c r="E28" i="1" s="1"/>
  <c r="J27" i="1"/>
  <c r="K27" i="1" s="1"/>
  <c r="D18" i="1"/>
  <c r="D17" i="1"/>
  <c r="D16" i="1"/>
  <c r="J15" i="1"/>
  <c r="J14" i="1" s="1"/>
  <c r="D15" i="1"/>
  <c r="D14" i="1"/>
  <c r="D13" i="1"/>
  <c r="I12" i="1" s="1"/>
  <c r="D12" i="1"/>
  <c r="D11" i="1"/>
  <c r="D10" i="1"/>
  <c r="D9" i="1"/>
  <c r="D8" i="1"/>
  <c r="D7" i="1"/>
  <c r="D6" i="1"/>
  <c r="D5" i="1"/>
  <c r="D52" i="1" l="1"/>
  <c r="D53" i="1" s="1"/>
  <c r="D54" i="1" s="1"/>
  <c r="J5" i="1" s="1"/>
  <c r="D66" i="1"/>
  <c r="J6" i="1" s="1"/>
  <c r="K36" i="1"/>
  <c r="J7" i="1" s="1"/>
  <c r="J36" i="1"/>
  <c r="D19" i="1"/>
  <c r="D20" i="1" s="1"/>
  <c r="D21" i="1" s="1"/>
  <c r="J8" i="1" s="1"/>
  <c r="E37" i="1"/>
  <c r="D37" i="1"/>
  <c r="D38" i="1" l="1"/>
  <c r="D39" i="1" s="1"/>
  <c r="E39" i="1" s="1"/>
  <c r="J4" i="1" s="1"/>
  <c r="J12" i="1" s="1"/>
</calcChain>
</file>

<file path=xl/sharedStrings.xml><?xml version="1.0" encoding="utf-8"?>
<sst xmlns="http://schemas.openxmlformats.org/spreadsheetml/2006/main" count="80" uniqueCount="61">
  <si>
    <t>Estudio</t>
  </si>
  <si>
    <t>TOTAL PROYECTO</t>
  </si>
  <si>
    <t>ITEM</t>
  </si>
  <si>
    <t>Valor Unitario</t>
  </si>
  <si>
    <t>Cantidad</t>
  </si>
  <si>
    <t>Total</t>
  </si>
  <si>
    <t>Locutor</t>
  </si>
  <si>
    <t>Mix 60''</t>
  </si>
  <si>
    <t>Musica Original</t>
  </si>
  <si>
    <t>Mix 45''</t>
  </si>
  <si>
    <t>Música Archivo</t>
  </si>
  <si>
    <t>Mix 30''</t>
  </si>
  <si>
    <t>Personajes / Doblajes</t>
  </si>
  <si>
    <t>Mix 20''</t>
  </si>
  <si>
    <t>Mix 15''</t>
  </si>
  <si>
    <t>Edicion</t>
  </si>
  <si>
    <t>Gestion</t>
  </si>
  <si>
    <t>Mix 15'' - Pre Roll</t>
  </si>
  <si>
    <t>TOTAL CALCULADO</t>
  </si>
  <si>
    <t>Mix 6''Bumper</t>
  </si>
  <si>
    <t>TOTAL NETO CLIENTE</t>
  </si>
  <si>
    <t>Casting</t>
  </si>
  <si>
    <t>IVA</t>
  </si>
  <si>
    <t>TOTAL</t>
  </si>
  <si>
    <t>Sub Total</t>
  </si>
  <si>
    <t>Descuento %</t>
  </si>
  <si>
    <t>TOTAL ESTUDIO</t>
  </si>
  <si>
    <t>% Boleta</t>
  </si>
  <si>
    <t>Armado Madre 30'' o 45''</t>
  </si>
  <si>
    <t>Reduccion 20''</t>
  </si>
  <si>
    <t>Reduccion 15”</t>
  </si>
  <si>
    <t>Reducciones 6”</t>
  </si>
  <si>
    <t>Derechos Cable</t>
  </si>
  <si>
    <t>Radio</t>
  </si>
  <si>
    <t>TOTAL PERSONAJES</t>
  </si>
  <si>
    <t>TOTAL Locutor</t>
  </si>
  <si>
    <t>Música Original</t>
  </si>
  <si>
    <t xml:space="preserve">Musica Original base </t>
  </si>
  <si>
    <t>Cantante</t>
  </si>
  <si>
    <t>Guitarrista</t>
  </si>
  <si>
    <t>Violinista / Cuerdas</t>
  </si>
  <si>
    <t xml:space="preserve">Derechos TV </t>
  </si>
  <si>
    <t>Derechos Digital</t>
  </si>
  <si>
    <t>Derechos Radio</t>
  </si>
  <si>
    <t>DESCUENTO %</t>
  </si>
  <si>
    <t>TOTAL MÚSICA ORIGINAL</t>
  </si>
  <si>
    <t>Música Premium Beat o Similar TV (precio Costo)</t>
  </si>
  <si>
    <t>Música Premium Beat o Similar  -  Digital 50 USD</t>
  </si>
  <si>
    <t>Musica de Artlist / Envato  - Digital</t>
  </si>
  <si>
    <t>Musica de Artlist / Envato  - Digital TV</t>
  </si>
  <si>
    <t>Musica de Artlist / Envato  - Radio</t>
  </si>
  <si>
    <t>Costos</t>
  </si>
  <si>
    <t>Participantes</t>
  </si>
  <si>
    <t>Rol</t>
  </si>
  <si>
    <t>Boleta / F</t>
  </si>
  <si>
    <t>Estado Pago</t>
  </si>
  <si>
    <t>Valor</t>
  </si>
  <si>
    <t>Valor Liquido</t>
  </si>
  <si>
    <t>Estado Proyecto</t>
  </si>
  <si>
    <t>Factura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</si>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</sst>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\$* #,##0_ ;_ \$* \-#,##0_ ;_ \$* \-_ ;_ @_ "/>
    <numFmt numFmtId="165" formatCode="_-[$$-340A]\ * #,##0_-;\-[$$-340A]\ * #,##0_-;_-[$$-340A]\ * \-_-;_-@_-"/>
    <numFmt numFmtId="166" formatCode="0\ %"/>
  </numFmts>
  <fonts count="16" x14ac:knownFonts="1">
    <font>
      <sz val="12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i/>
      <sz val="1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rgb="FF8497B0"/>
      <name val="Calibri"/>
      <family val="2"/>
      <charset val="1"/>
    </font>
    <font>
      <sz val="12"/>
      <color rgb="FFFF0000"/>
      <name val="Calibri"/>
      <family val="2"/>
      <charset val="1"/>
    </font>
    <font>
      <u/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8497B0"/>
        <bgColor rgb="FF8FAADC"/>
      </patternFill>
    </fill>
    <fill>
      <patternFill patternType="solid">
        <fgColor rgb="FFFFFFFF"/>
        <bgColor rgb="FFFFFFCC"/>
      </patternFill>
    </fill>
    <fill>
      <patternFill patternType="solid">
        <fgColor rgb="FF5B9BD5"/>
        <bgColor rgb="FF8497B0"/>
      </patternFill>
    </fill>
    <fill>
      <patternFill patternType="solid">
        <fgColor rgb="FF333F50"/>
        <bgColor rgb="FF333399"/>
      </patternFill>
    </fill>
    <fill>
      <patternFill patternType="solid">
        <fgColor rgb="FFDAE3F3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B4C7E7"/>
        <bgColor rgb="FF9DC3E6"/>
      </patternFill>
    </fill>
    <fill>
      <patternFill patternType="solid">
        <fgColor rgb="FF9DC3E6"/>
        <bgColor rgb="FFB4C7E7"/>
      </patternFill>
    </fill>
    <fill>
      <patternFill patternType="solid">
        <fgColor rgb="FF8FAADC"/>
        <bgColor rgb="FF9DC3E6"/>
      </patternFill>
    </fill>
    <fill>
      <patternFill patternType="solid">
        <fgColor rgb="FFDBDBDB"/>
        <bgColor rgb="FFDAE3F3"/>
      </patternFill>
    </fill>
    <fill>
      <patternFill patternType="solid">
        <fgColor rgb="FF7C7C7C"/>
        <bgColor rgb="FF666699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/>
    <xf numFmtId="166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</cellStyleXfs>
  <cellXfs count="114">
    <xf numFmtId="0" fontId="0" fillId="0" borderId="0" xfId="0"/>
    <xf numFmtId="0" fontId="3" fillId="8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1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5" fillId="6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15" fillId="0" borderId="2" xfId="2" applyBorder="1" applyProtection="1"/>
    <xf numFmtId="0" fontId="0" fillId="0" borderId="2" xfId="0" applyBorder="1"/>
    <xf numFmtId="0" fontId="1" fillId="7" borderId="2" xfId="0" applyFont="1" applyFill="1" applyBorder="1" applyAlignment="1">
      <alignment horizontal="center"/>
    </xf>
    <xf numFmtId="165" fontId="6" fillId="7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5" fontId="6" fillId="3" borderId="0" xfId="0" applyNumberFormat="1" applyFont="1" applyFill="1"/>
    <xf numFmtId="165" fontId="7" fillId="7" borderId="2" xfId="0" applyNumberFormat="1" applyFont="1" applyFill="1" applyBorder="1" applyAlignment="1">
      <alignment horizontal="center"/>
    </xf>
    <xf numFmtId="165" fontId="8" fillId="3" borderId="0" xfId="0" applyNumberFormat="1" applyFont="1" applyFill="1"/>
    <xf numFmtId="3" fontId="0" fillId="6" borderId="3" xfId="0" applyNumberFormat="1" applyFill="1" applyBorder="1" applyAlignment="1">
      <alignment horizontal="center"/>
    </xf>
    <xf numFmtId="3" fontId="0" fillId="6" borderId="4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5" fillId="0" borderId="2" xfId="2" applyNumberFormat="1" applyBorder="1" applyAlignment="1" applyProtection="1">
      <alignment horizontal="center"/>
    </xf>
    <xf numFmtId="164" fontId="9" fillId="0" borderId="2" xfId="0" applyNumberFormat="1" applyFont="1" applyBorder="1"/>
    <xf numFmtId="0" fontId="10" fillId="7" borderId="2" xfId="0" applyFont="1" applyFill="1" applyBorder="1"/>
    <xf numFmtId="164" fontId="10" fillId="7" borderId="2" xfId="3" applyFont="1" applyFill="1" applyBorder="1" applyProtection="1"/>
    <xf numFmtId="164" fontId="10" fillId="7" borderId="2" xfId="0" applyNumberFormat="1" applyFont="1" applyFill="1" applyBorder="1"/>
    <xf numFmtId="0" fontId="0" fillId="7" borderId="2" xfId="0" applyFill="1" applyBorder="1" applyAlignment="1">
      <alignment horizontal="center"/>
    </xf>
    <xf numFmtId="164" fontId="15" fillId="0" borderId="0" xfId="2" applyBorder="1" applyProtection="1"/>
    <xf numFmtId="0" fontId="0" fillId="7" borderId="0" xfId="0" applyFill="1"/>
    <xf numFmtId="166" fontId="15" fillId="0" borderId="0" xfId="1" applyBorder="1" applyAlignment="1" applyProtection="1">
      <alignment horizontal="center"/>
    </xf>
    <xf numFmtId="165" fontId="3" fillId="8" borderId="2" xfId="0" applyNumberFormat="1" applyFont="1" applyFill="1" applyBorder="1"/>
    <xf numFmtId="165" fontId="6" fillId="0" borderId="0" xfId="0" applyNumberFormat="1" applyFont="1"/>
    <xf numFmtId="165" fontId="10" fillId="0" borderId="0" xfId="0" applyNumberFormat="1" applyFont="1"/>
    <xf numFmtId="165" fontId="11" fillId="0" borderId="0" xfId="0" applyNumberFormat="1" applyFont="1"/>
    <xf numFmtId="166" fontId="0" fillId="0" borderId="0" xfId="0" applyNumberFormat="1" applyAlignment="1">
      <alignment horizontal="center"/>
    </xf>
    <xf numFmtId="165" fontId="12" fillId="6" borderId="2" xfId="0" applyNumberFormat="1" applyFont="1" applyFill="1" applyBorder="1" applyAlignment="1">
      <alignment horizontal="center"/>
    </xf>
    <xf numFmtId="0" fontId="13" fillId="0" borderId="0" xfId="0" applyFont="1"/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6" fillId="0" borderId="9" xfId="0" applyNumberFormat="1" applyFont="1" applyBorder="1"/>
    <xf numFmtId="0" fontId="6" fillId="0" borderId="9" xfId="0" applyFont="1" applyBorder="1" applyAlignment="1">
      <alignment horizontal="center"/>
    </xf>
    <xf numFmtId="164" fontId="6" fillId="0" borderId="9" xfId="2" applyFont="1" applyBorder="1" applyAlignment="1" applyProtection="1">
      <alignment horizontal="center"/>
    </xf>
    <xf numFmtId="164" fontId="6" fillId="0" borderId="10" xfId="2" applyFont="1" applyBorder="1" applyProtection="1"/>
    <xf numFmtId="0" fontId="1" fillId="0" borderId="11" xfId="0" applyFont="1" applyBorder="1" applyAlignment="1">
      <alignment horizontal="center"/>
    </xf>
    <xf numFmtId="165" fontId="6" fillId="0" borderId="12" xfId="0" applyNumberFormat="1" applyFont="1" applyBorder="1"/>
    <xf numFmtId="0" fontId="6" fillId="0" borderId="2" xfId="0" applyFont="1" applyBorder="1" applyAlignment="1">
      <alignment horizontal="center"/>
    </xf>
    <xf numFmtId="164" fontId="6" fillId="0" borderId="12" xfId="2" applyFont="1" applyBorder="1" applyAlignment="1" applyProtection="1">
      <alignment horizontal="center"/>
    </xf>
    <xf numFmtId="164" fontId="6" fillId="0" borderId="12" xfId="2" applyFont="1" applyBorder="1" applyProtection="1"/>
    <xf numFmtId="165" fontId="6" fillId="0" borderId="2" xfId="0" applyNumberFormat="1" applyFont="1" applyBorder="1"/>
    <xf numFmtId="164" fontId="6" fillId="0" borderId="2" xfId="2" applyFont="1" applyBorder="1" applyAlignment="1" applyProtection="1">
      <alignment horizontal="center"/>
    </xf>
    <xf numFmtId="0" fontId="1" fillId="3" borderId="11" xfId="0" applyFont="1" applyFill="1" applyBorder="1" applyAlignment="1">
      <alignment horizontal="center"/>
    </xf>
    <xf numFmtId="165" fontId="6" fillId="3" borderId="2" xfId="0" applyNumberFormat="1" applyFont="1" applyFill="1" applyBorder="1"/>
    <xf numFmtId="0" fontId="6" fillId="3" borderId="2" xfId="0" applyFont="1" applyFill="1" applyBorder="1" applyAlignment="1">
      <alignment horizontal="center"/>
    </xf>
    <xf numFmtId="164" fontId="6" fillId="3" borderId="2" xfId="2" applyFont="1" applyFill="1" applyBorder="1" applyAlignment="1" applyProtection="1">
      <alignment horizontal="center"/>
    </xf>
    <xf numFmtId="165" fontId="6" fillId="3" borderId="12" xfId="0" applyNumberFormat="1" applyFont="1" applyFill="1" applyBorder="1"/>
    <xf numFmtId="164" fontId="6" fillId="3" borderId="12" xfId="2" applyFont="1" applyFill="1" applyBorder="1" applyAlignment="1" applyProtection="1">
      <alignment horizontal="center"/>
    </xf>
    <xf numFmtId="0" fontId="0" fillId="0" borderId="11" xfId="0" applyBorder="1"/>
    <xf numFmtId="165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165" fontId="0" fillId="0" borderId="2" xfId="0" applyNumberFormat="1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164" fontId="15" fillId="0" borderId="14" xfId="2" applyBorder="1" applyProtection="1"/>
    <xf numFmtId="0" fontId="0" fillId="0" borderId="15" xfId="0" applyBorder="1"/>
    <xf numFmtId="164" fontId="6" fillId="3" borderId="16" xfId="2" applyFont="1" applyFill="1" applyBorder="1" applyAlignment="1" applyProtection="1">
      <alignment horizontal="center"/>
    </xf>
    <xf numFmtId="0" fontId="12" fillId="8" borderId="6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164" fontId="12" fillId="8" borderId="18" xfId="0" applyNumberFormat="1" applyFont="1" applyFill="1" applyBorder="1" applyAlignment="1">
      <alignment horizontal="center"/>
    </xf>
    <xf numFmtId="164" fontId="12" fillId="8" borderId="19" xfId="2" applyFont="1" applyFill="1" applyBorder="1" applyProtection="1"/>
    <xf numFmtId="164" fontId="15" fillId="8" borderId="2" xfId="2" applyFill="1" applyBorder="1" applyProtection="1"/>
    <xf numFmtId="0" fontId="0" fillId="8" borderId="2" xfId="0" applyFill="1" applyBorder="1"/>
    <xf numFmtId="165" fontId="0" fillId="6" borderId="2" xfId="0" applyNumberFormat="1" applyFill="1" applyBorder="1"/>
    <xf numFmtId="0" fontId="0" fillId="0" borderId="12" xfId="0" applyBorder="1" applyAlignment="1">
      <alignment horizontal="center"/>
    </xf>
    <xf numFmtId="164" fontId="15" fillId="0" borderId="12" xfId="2" applyBorder="1" applyProtection="1"/>
    <xf numFmtId="0" fontId="0" fillId="0" borderId="12" xfId="0" applyBorder="1"/>
    <xf numFmtId="164" fontId="0" fillId="0" borderId="12" xfId="0" applyNumberFormat="1" applyBorder="1"/>
    <xf numFmtId="164" fontId="0" fillId="0" borderId="2" xfId="0" applyNumberFormat="1" applyBorder="1"/>
    <xf numFmtId="164" fontId="0" fillId="8" borderId="2" xfId="0" applyNumberFormat="1" applyFill="1" applyBorder="1"/>
    <xf numFmtId="164" fontId="15" fillId="0" borderId="2" xfId="4" applyBorder="1" applyProtection="1"/>
    <xf numFmtId="164" fontId="12" fillId="10" borderId="2" xfId="0" applyNumberFormat="1" applyFont="1" applyFill="1" applyBorder="1"/>
    <xf numFmtId="0" fontId="0" fillId="10" borderId="2" xfId="0" applyFill="1" applyBorder="1"/>
    <xf numFmtId="0" fontId="3" fillId="11" borderId="12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/>
    </xf>
    <xf numFmtId="165" fontId="1" fillId="12" borderId="4" xfId="0" applyNumberFormat="1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165" fontId="1" fillId="12" borderId="2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6" fillId="3" borderId="21" xfId="0" applyNumberFormat="1" applyFont="1" applyFill="1" applyBorder="1"/>
    <xf numFmtId="0" fontId="0" fillId="0" borderId="4" xfId="0" applyBorder="1"/>
    <xf numFmtId="0" fontId="3" fillId="12" borderId="2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15" fillId="0" borderId="2" xfId="2" applyBorder="1" applyAlignment="1" applyProtection="1">
      <alignment horizontal="center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164" fontId="12" fillId="8" borderId="2" xfId="0" applyNumberFormat="1" applyFont="1" applyFill="1" applyBorder="1" applyAlignment="1">
      <alignment horizontal="center"/>
    </xf>
  </cellXfs>
  <cellStyles count="5">
    <cellStyle name="Excel Built-in Currency [0]" xfId="3" xr:uid="{00000000-0005-0000-0000-000007000000}"/>
    <cellStyle name="Excel Built-in Currency [0] 1" xfId="2" xr:uid="{00000000-0005-0000-0000-000006000000}"/>
    <cellStyle name="Excel Built-in Currency [0] 2" xfId="4" xr:uid="{00000000-0005-0000-0000-000008000000}"/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7C7C7C"/>
      <rgbColor rgb="FF8FAADC"/>
      <rgbColor rgb="FF993366"/>
      <rgbColor rgb="FFFFFFCC"/>
      <rgbColor rgb="FFDEEBF7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5B9BD5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428760</xdr:colOff>
      <xdr:row>25</xdr:row>
      <xdr:rowOff>43200</xdr:rowOff>
    </xdr:from>
    <xdr:to>
      <xdr:col>0</xdr:col>
      <xdr:colOff>434160</xdr:colOff>
      <xdr:row>25</xdr:row>
      <xdr:rowOff>189720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18397" b="40512"/>
        <a:stretch/>
      </xdr:blipFill>
      <xdr:spPr>
        <a:xfrm>
          <a:off x="428760" y="5767560"/>
          <a:ext cx="5400" cy="14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35</xdr:row>
      <xdr:rowOff>128880</xdr:rowOff>
    </xdr:from>
    <xdr:to>
      <xdr:col>0</xdr:col>
      <xdr:colOff>434160</xdr:colOff>
      <xdr:row>36</xdr:row>
      <xdr:rowOff>76634</xdr:rowOff>
    </xdr:to>
    <xdr:pic>
      <xdr:nvPicPr>
        <xdr:cNvPr id="3" name="5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t="18397" b="40512"/>
        <a:stretch/>
      </xdr:blipFill>
      <xdr:spPr>
        <a:xfrm>
          <a:off x="428760" y="7853760"/>
          <a:ext cx="5400" cy="158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429120</xdr:colOff>
      <xdr:row>24</xdr:row>
      <xdr:rowOff>43200</xdr:rowOff>
    </xdr:from>
    <xdr:to>
      <xdr:col>6</xdr:col>
      <xdr:colOff>437400</xdr:colOff>
      <xdr:row>24</xdr:row>
      <xdr:rowOff>186480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t="18397" b="40512"/>
        <a:stretch/>
      </xdr:blipFill>
      <xdr:spPr>
        <a:xfrm>
          <a:off x="9832320" y="5567760"/>
          <a:ext cx="8280" cy="14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429120</xdr:colOff>
      <xdr:row>34</xdr:row>
      <xdr:rowOff>119520</xdr:rowOff>
    </xdr:from>
    <xdr:to>
      <xdr:col>6</xdr:col>
      <xdr:colOff>437400</xdr:colOff>
      <xdr:row>35</xdr:row>
      <xdr:rowOff>58633</xdr:rowOff>
    </xdr:to>
    <xdr:pic>
      <xdr:nvPicPr>
        <xdr:cNvPr id="5" name="5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rcRect t="18397" b="40512"/>
        <a:stretch/>
      </xdr:blipFill>
      <xdr:spPr>
        <a:xfrm>
          <a:off x="9832320" y="7644240"/>
          <a:ext cx="8280" cy="150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80"/>
  <sheetViews>
    <sheetView showGridLines="0" tabSelected="1" zoomScale="85" zoomScaleNormal="85" workbookViewId="0">
      <selection activeCell="I12" sqref="I12"/>
    </sheetView>
  </sheetViews>
  <sheetFormatPr baseColWidth="10" defaultColWidth="10.875" defaultRowHeight="15.75" x14ac:dyDescent="0.25"/>
  <cols>
    <col min="1" max="1" width="52" customWidth="1"/>
    <col min="2" max="2" width="12.5" customWidth="1"/>
    <col min="3" max="3" width="14.75" customWidth="1"/>
    <col min="4" max="4" width="12.5" customWidth="1"/>
    <col min="5" max="5" width="15.375" customWidth="1"/>
    <col min="6" max="6" width="15.25" customWidth="1"/>
    <col min="7" max="7" width="36.375" customWidth="1"/>
    <col min="8" max="8" width="15.625" customWidth="1"/>
    <col min="9" max="9" width="20.75" customWidth="1"/>
    <col min="10" max="10" width="15.875" customWidth="1"/>
    <col min="13" max="13" width="14.25" customWidth="1"/>
  </cols>
  <sheetData>
    <row r="2" spans="1:12" x14ac:dyDescent="0.25">
      <c r="A2" s="3"/>
      <c r="B2" s="101"/>
      <c r="C2" s="101"/>
      <c r="D2" s="2"/>
      <c r="E2" s="2"/>
      <c r="F2" s="4"/>
      <c r="G2" s="5"/>
    </row>
    <row r="3" spans="1:12" x14ac:dyDescent="0.25">
      <c r="A3" s="102" t="s">
        <v>0</v>
      </c>
      <c r="B3" s="102"/>
      <c r="C3" s="102"/>
      <c r="D3" s="102"/>
      <c r="E3" s="6"/>
      <c r="F3" s="6"/>
      <c r="G3" s="103" t="s">
        <v>1</v>
      </c>
      <c r="H3" s="103"/>
      <c r="I3" s="103"/>
      <c r="J3" s="103"/>
      <c r="K3" s="103"/>
      <c r="L3" s="103"/>
    </row>
    <row r="4" spans="1:12" x14ac:dyDescent="0.25">
      <c r="A4" s="7" t="s">
        <v>2</v>
      </c>
      <c r="B4" s="8" t="s">
        <v>3</v>
      </c>
      <c r="C4" s="8" t="s">
        <v>4</v>
      </c>
      <c r="D4" s="8" t="s">
        <v>5</v>
      </c>
      <c r="E4" s="9"/>
      <c r="G4" s="18" t="s">
        <v>6</v>
      </c>
      <c r="H4" s="10"/>
      <c r="I4" s="11">
        <f>SUM(C28:C36)</f>
        <v>0</v>
      </c>
      <c r="J4" s="12">
        <f>E39</f>
        <v>0</v>
      </c>
      <c r="K4" s="13"/>
      <c r="L4" s="13"/>
    </row>
    <row r="5" spans="1:12" x14ac:dyDescent="0.25">
      <c r="A5" s="14" t="s">
        <v>7</v>
      </c>
      <c r="B5" s="15"/>
      <c r="C5" s="16">
        <v>0</v>
      </c>
      <c r="D5" s="15">
        <f t="shared" ref="D5:D10" si="0">C5*B5</f>
        <v>0</v>
      </c>
      <c r="E5" s="17"/>
      <c r="G5" s="18" t="s">
        <v>8</v>
      </c>
      <c r="H5" s="19"/>
      <c r="I5" s="11">
        <f>SUM(C43:C51)</f>
        <v>0</v>
      </c>
      <c r="J5" s="12">
        <f>D54</f>
        <v>0</v>
      </c>
      <c r="K5" s="13"/>
      <c r="L5" s="13"/>
    </row>
    <row r="6" spans="1:12" x14ac:dyDescent="0.25">
      <c r="A6" s="14" t="s">
        <v>9</v>
      </c>
      <c r="B6" s="15"/>
      <c r="C6" s="16">
        <v>0</v>
      </c>
      <c r="D6" s="15">
        <f t="shared" si="0"/>
        <v>0</v>
      </c>
      <c r="E6" s="20"/>
      <c r="G6" s="18" t="s">
        <v>10</v>
      </c>
      <c r="H6" s="19"/>
      <c r="I6" s="11">
        <f>SUM(C59:C65)</f>
        <v>0</v>
      </c>
      <c r="J6" s="12">
        <f>D66</f>
        <v>0</v>
      </c>
      <c r="K6" s="13"/>
      <c r="L6" s="13"/>
    </row>
    <row r="7" spans="1:12" x14ac:dyDescent="0.25">
      <c r="A7" s="14" t="s">
        <v>11</v>
      </c>
      <c r="B7" s="21"/>
      <c r="C7" s="16">
        <v>0</v>
      </c>
      <c r="D7" s="15">
        <f t="shared" si="0"/>
        <v>0</v>
      </c>
      <c r="E7" s="20"/>
      <c r="G7" s="18" t="s">
        <v>12</v>
      </c>
      <c r="H7" s="19"/>
      <c r="I7" s="11">
        <f>SUM(I27:I35)</f>
        <v>0</v>
      </c>
      <c r="J7" s="12">
        <f>K36*I7</f>
        <v>0</v>
      </c>
      <c r="K7" s="13"/>
      <c r="L7" s="13"/>
    </row>
    <row r="8" spans="1:12" x14ac:dyDescent="0.25">
      <c r="A8" s="14" t="s">
        <v>13</v>
      </c>
      <c r="B8" s="21"/>
      <c r="C8" s="16">
        <v>0</v>
      </c>
      <c r="D8" s="15">
        <f t="shared" si="0"/>
        <v>0</v>
      </c>
      <c r="E8" s="22"/>
      <c r="G8" s="18" t="s">
        <v>0</v>
      </c>
      <c r="H8" s="19"/>
      <c r="I8" s="11">
        <f>SUM(C5:C18)</f>
        <v>0</v>
      </c>
      <c r="J8" s="12">
        <f>D21*I8</f>
        <v>0</v>
      </c>
      <c r="K8" s="13"/>
      <c r="L8" s="13"/>
    </row>
    <row r="9" spans="1:12" x14ac:dyDescent="0.25">
      <c r="A9" s="14" t="s">
        <v>14</v>
      </c>
      <c r="B9" s="21"/>
      <c r="C9" s="16">
        <v>0</v>
      </c>
      <c r="D9" s="15">
        <f t="shared" si="0"/>
        <v>0</v>
      </c>
      <c r="E9" s="20"/>
      <c r="G9" s="23"/>
      <c r="H9" s="24"/>
      <c r="I9" s="11"/>
      <c r="J9" s="12"/>
      <c r="K9" s="13"/>
      <c r="L9" s="13"/>
    </row>
    <row r="10" spans="1:12" ht="18.75" customHeight="1" x14ac:dyDescent="0.25">
      <c r="A10" s="14" t="s">
        <v>15</v>
      </c>
      <c r="B10" s="21"/>
      <c r="C10" s="16">
        <v>0</v>
      </c>
      <c r="D10" s="15">
        <f t="shared" si="0"/>
        <v>0</v>
      </c>
      <c r="E10" s="20"/>
      <c r="G10" s="25"/>
      <c r="H10" s="26"/>
      <c r="I10" s="11"/>
      <c r="J10" s="12"/>
      <c r="K10" s="13"/>
      <c r="L10" s="13"/>
    </row>
    <row r="11" spans="1:12" x14ac:dyDescent="0.25">
      <c r="A11" s="14" t="s">
        <v>16</v>
      </c>
      <c r="B11" s="21"/>
      <c r="C11" s="16">
        <v>0</v>
      </c>
      <c r="D11" s="15">
        <f t="shared" ref="D11:D18" si="1">B11*C11</f>
        <v>0</v>
      </c>
      <c r="E11" s="20"/>
      <c r="G11" s="25"/>
      <c r="H11" s="26"/>
      <c r="I11" s="11"/>
      <c r="J11" s="12"/>
      <c r="K11" s="13"/>
      <c r="L11" s="13"/>
    </row>
    <row r="12" spans="1:12" x14ac:dyDescent="0.25">
      <c r="A12" s="14" t="s">
        <v>17</v>
      </c>
      <c r="B12" s="21"/>
      <c r="C12" s="16">
        <v>0</v>
      </c>
      <c r="D12" s="15">
        <f t="shared" si="1"/>
        <v>0</v>
      </c>
      <c r="E12" s="20"/>
      <c r="G12" s="104" t="s">
        <v>18</v>
      </c>
      <c r="H12" s="104"/>
      <c r="I12" s="27">
        <f>SUM(B13:I13)</f>
        <v>0</v>
      </c>
      <c r="J12" s="28">
        <f>SUM(J4:J11)</f>
        <v>0</v>
      </c>
      <c r="K12" s="13"/>
      <c r="L12" s="13"/>
    </row>
    <row r="13" spans="1:12" x14ac:dyDescent="0.25">
      <c r="A13" s="14" t="s">
        <v>19</v>
      </c>
      <c r="B13" s="21"/>
      <c r="C13" s="16">
        <v>0</v>
      </c>
      <c r="D13" s="15">
        <f t="shared" si="1"/>
        <v>0</v>
      </c>
      <c r="E13" s="20"/>
      <c r="G13" s="105" t="s">
        <v>20</v>
      </c>
      <c r="H13" s="105"/>
      <c r="I13" s="29"/>
      <c r="J13" s="30"/>
    </row>
    <row r="14" spans="1:12" x14ac:dyDescent="0.25">
      <c r="A14" s="14" t="s">
        <v>21</v>
      </c>
      <c r="B14" s="21"/>
      <c r="C14" s="16">
        <v>0</v>
      </c>
      <c r="D14" s="15">
        <f t="shared" si="1"/>
        <v>0</v>
      </c>
      <c r="E14" s="20"/>
      <c r="G14" s="105" t="s">
        <v>22</v>
      </c>
      <c r="H14" s="105"/>
      <c r="I14" s="29"/>
      <c r="J14" s="31">
        <f>J15-J13</f>
        <v>0</v>
      </c>
    </row>
    <row r="15" spans="1:12" x14ac:dyDescent="0.25">
      <c r="A15" s="14"/>
      <c r="B15" s="21"/>
      <c r="C15" s="16">
        <v>0</v>
      </c>
      <c r="D15" s="15">
        <f t="shared" si="1"/>
        <v>0</v>
      </c>
      <c r="E15" s="20"/>
      <c r="G15" s="105" t="s">
        <v>23</v>
      </c>
      <c r="H15" s="105"/>
      <c r="I15" s="29"/>
      <c r="J15" s="31">
        <f>J13*1.19</f>
        <v>0</v>
      </c>
    </row>
    <row r="16" spans="1:12" x14ac:dyDescent="0.25">
      <c r="A16" s="14"/>
      <c r="B16" s="21"/>
      <c r="C16" s="16">
        <v>0</v>
      </c>
      <c r="D16" s="15">
        <f t="shared" si="1"/>
        <v>0</v>
      </c>
      <c r="E16" s="20"/>
    </row>
    <row r="17" spans="1:12" x14ac:dyDescent="0.25">
      <c r="A17" s="32"/>
      <c r="B17" s="21"/>
      <c r="C17" s="16">
        <v>0</v>
      </c>
      <c r="D17" s="15">
        <f t="shared" si="1"/>
        <v>0</v>
      </c>
      <c r="E17" s="20"/>
      <c r="J17" s="33"/>
    </row>
    <row r="18" spans="1:12" ht="18.75" customHeight="1" x14ac:dyDescent="0.25">
      <c r="A18" s="34"/>
      <c r="B18" s="21"/>
      <c r="C18" s="16">
        <v>0</v>
      </c>
      <c r="D18" s="15">
        <f t="shared" si="1"/>
        <v>0</v>
      </c>
      <c r="E18" s="20"/>
      <c r="J18" s="35"/>
    </row>
    <row r="19" spans="1:12" ht="18.75" customHeight="1" x14ac:dyDescent="0.25">
      <c r="A19" s="106" t="s">
        <v>24</v>
      </c>
      <c r="B19" s="106"/>
      <c r="C19" s="106"/>
      <c r="D19" s="36">
        <f>SUM(D5:D18)</f>
        <v>0</v>
      </c>
      <c r="E19" s="37"/>
      <c r="G19" s="38"/>
      <c r="H19" s="39"/>
      <c r="K19" s="35"/>
      <c r="L19" s="35"/>
    </row>
    <row r="20" spans="1:12" x14ac:dyDescent="0.25">
      <c r="A20" s="1" t="s">
        <v>25</v>
      </c>
      <c r="B20" s="107"/>
      <c r="C20" s="107"/>
      <c r="D20" s="36">
        <f>D19*B20/100</f>
        <v>0</v>
      </c>
      <c r="G20" s="35"/>
      <c r="H20" s="40"/>
    </row>
    <row r="21" spans="1:12" x14ac:dyDescent="0.25">
      <c r="A21" s="108" t="s">
        <v>26</v>
      </c>
      <c r="B21" s="108"/>
      <c r="C21" s="108"/>
      <c r="D21" s="41">
        <f>D19-D20</f>
        <v>0</v>
      </c>
    </row>
    <row r="23" spans="1:12" x14ac:dyDescent="0.25">
      <c r="J23" s="42"/>
    </row>
    <row r="25" spans="1:12" x14ac:dyDescent="0.25">
      <c r="G25" s="109" t="s">
        <v>12</v>
      </c>
      <c r="H25" s="109"/>
      <c r="I25" s="109"/>
      <c r="J25" s="109"/>
      <c r="K25" s="109"/>
    </row>
    <row r="26" spans="1:12" x14ac:dyDescent="0.25">
      <c r="A26" s="109" t="s">
        <v>6</v>
      </c>
      <c r="B26" s="109"/>
      <c r="C26" s="109"/>
      <c r="D26" s="109"/>
      <c r="E26" s="109"/>
      <c r="G26" s="43" t="s">
        <v>2</v>
      </c>
      <c r="H26" s="44" t="s">
        <v>3</v>
      </c>
      <c r="I26" s="44" t="s">
        <v>4</v>
      </c>
      <c r="J26" s="44"/>
      <c r="K26" s="44" t="s">
        <v>27</v>
      </c>
    </row>
    <row r="27" spans="1:12" ht="16.5" thickBot="1" x14ac:dyDescent="0.3">
      <c r="A27" s="43" t="s">
        <v>2</v>
      </c>
      <c r="B27" s="44" t="s">
        <v>3</v>
      </c>
      <c r="C27" s="44" t="s">
        <v>4</v>
      </c>
      <c r="D27" s="44"/>
      <c r="E27" s="44" t="s">
        <v>27</v>
      </c>
      <c r="G27" s="45" t="s">
        <v>12</v>
      </c>
      <c r="H27" s="46"/>
      <c r="I27" s="47">
        <v>0</v>
      </c>
      <c r="J27" s="48">
        <f t="shared" ref="J27:J35" si="2">I27*H27</f>
        <v>0</v>
      </c>
      <c r="K27" s="49">
        <f t="shared" ref="K27:K35" si="3">J27/0.8475</f>
        <v>0</v>
      </c>
    </row>
    <row r="28" spans="1:12" ht="16.5" thickBot="1" x14ac:dyDescent="0.3">
      <c r="A28" s="50" t="s">
        <v>28</v>
      </c>
      <c r="B28" s="51"/>
      <c r="C28" s="52">
        <v>0</v>
      </c>
      <c r="D28" s="53">
        <f t="shared" ref="D28:D36" si="4">C28*B28</f>
        <v>0</v>
      </c>
      <c r="E28" s="54">
        <f t="shared" ref="E28:E36" si="5">D28/0.8475</f>
        <v>0</v>
      </c>
      <c r="G28" s="50"/>
      <c r="H28" s="55"/>
      <c r="I28" s="52">
        <v>0</v>
      </c>
      <c r="J28" s="56">
        <f t="shared" si="2"/>
        <v>0</v>
      </c>
      <c r="K28" s="49">
        <f t="shared" si="3"/>
        <v>0</v>
      </c>
    </row>
    <row r="29" spans="1:12" ht="16.5" thickBot="1" x14ac:dyDescent="0.3">
      <c r="A29" s="50" t="s">
        <v>29</v>
      </c>
      <c r="B29" s="51"/>
      <c r="C29" s="52">
        <v>0</v>
      </c>
      <c r="D29" s="53">
        <f t="shared" si="4"/>
        <v>0</v>
      </c>
      <c r="E29" s="54">
        <f t="shared" si="5"/>
        <v>0</v>
      </c>
      <c r="G29" s="57"/>
      <c r="H29" s="58"/>
      <c r="I29" s="59">
        <v>0</v>
      </c>
      <c r="J29" s="60">
        <f t="shared" si="2"/>
        <v>0</v>
      </c>
      <c r="K29" s="49">
        <f t="shared" si="3"/>
        <v>0</v>
      </c>
    </row>
    <row r="30" spans="1:12" ht="16.5" thickBot="1" x14ac:dyDescent="0.3">
      <c r="A30" s="57" t="s">
        <v>30</v>
      </c>
      <c r="B30" s="61"/>
      <c r="C30" s="59">
        <v>0</v>
      </c>
      <c r="D30" s="62">
        <f t="shared" si="4"/>
        <v>0</v>
      </c>
      <c r="E30" s="54">
        <f t="shared" si="5"/>
        <v>0</v>
      </c>
      <c r="G30" s="57"/>
      <c r="H30" s="58"/>
      <c r="I30" s="59">
        <v>0</v>
      </c>
      <c r="J30" s="60">
        <f t="shared" si="2"/>
        <v>0</v>
      </c>
      <c r="K30" s="49">
        <f t="shared" si="3"/>
        <v>0</v>
      </c>
    </row>
    <row r="31" spans="1:12" ht="16.5" thickBot="1" x14ac:dyDescent="0.3">
      <c r="A31" s="57" t="s">
        <v>31</v>
      </c>
      <c r="B31" s="61"/>
      <c r="C31" s="59">
        <v>0</v>
      </c>
      <c r="D31" s="53">
        <f t="shared" si="4"/>
        <v>0</v>
      </c>
      <c r="E31" s="54">
        <f t="shared" si="5"/>
        <v>0</v>
      </c>
      <c r="G31" s="57"/>
      <c r="H31" s="58"/>
      <c r="I31" s="59">
        <v>0</v>
      </c>
      <c r="J31" s="60">
        <f t="shared" si="2"/>
        <v>0</v>
      </c>
      <c r="K31" s="49">
        <f t="shared" si="3"/>
        <v>0</v>
      </c>
    </row>
    <row r="32" spans="1:12" ht="16.5" thickBot="1" x14ac:dyDescent="0.3">
      <c r="A32" s="57" t="s">
        <v>32</v>
      </c>
      <c r="B32" s="61"/>
      <c r="C32" s="59">
        <v>0</v>
      </c>
      <c r="D32" s="53">
        <f t="shared" si="4"/>
        <v>0</v>
      </c>
      <c r="E32" s="54">
        <f t="shared" si="5"/>
        <v>0</v>
      </c>
      <c r="G32" s="63"/>
      <c r="H32" s="64"/>
      <c r="I32" s="11">
        <v>0</v>
      </c>
      <c r="J32" s="12">
        <f t="shared" si="2"/>
        <v>0</v>
      </c>
      <c r="K32" s="49">
        <f t="shared" si="3"/>
        <v>0</v>
      </c>
    </row>
    <row r="33" spans="1:11" ht="16.5" thickBot="1" x14ac:dyDescent="0.3">
      <c r="A33" s="57" t="s">
        <v>33</v>
      </c>
      <c r="B33" s="66"/>
      <c r="C33" s="11">
        <v>0</v>
      </c>
      <c r="D33" s="62">
        <f t="shared" si="4"/>
        <v>0</v>
      </c>
      <c r="E33" s="54">
        <f t="shared" si="5"/>
        <v>0</v>
      </c>
      <c r="G33" s="63"/>
      <c r="H33" s="13"/>
      <c r="I33" s="11">
        <v>0</v>
      </c>
      <c r="J33" s="12">
        <f t="shared" si="2"/>
        <v>0</v>
      </c>
      <c r="K33" s="49">
        <f t="shared" si="3"/>
        <v>0</v>
      </c>
    </row>
    <row r="34" spans="1:11" ht="16.5" thickBot="1" x14ac:dyDescent="0.3">
      <c r="A34" s="13"/>
      <c r="B34" s="13"/>
      <c r="C34" s="11">
        <v>0</v>
      </c>
      <c r="D34" s="53">
        <f t="shared" si="4"/>
        <v>0</v>
      </c>
      <c r="E34" s="54">
        <f t="shared" si="5"/>
        <v>0</v>
      </c>
      <c r="G34" s="63"/>
      <c r="H34" s="13"/>
      <c r="I34" s="11">
        <v>0</v>
      </c>
      <c r="J34" s="12">
        <f t="shared" si="2"/>
        <v>0</v>
      </c>
      <c r="K34" s="49">
        <f t="shared" si="3"/>
        <v>0</v>
      </c>
    </row>
    <row r="35" spans="1:11" ht="16.5" thickBot="1" x14ac:dyDescent="0.3">
      <c r="A35" s="13"/>
      <c r="B35" s="13"/>
      <c r="C35" s="11">
        <v>0</v>
      </c>
      <c r="D35" s="53">
        <f t="shared" si="4"/>
        <v>0</v>
      </c>
      <c r="E35" s="54">
        <f t="shared" si="5"/>
        <v>0</v>
      </c>
      <c r="G35" s="67"/>
      <c r="H35" s="68"/>
      <c r="I35" s="69">
        <v>0</v>
      </c>
      <c r="J35" s="70">
        <f t="shared" si="2"/>
        <v>0</v>
      </c>
      <c r="K35" s="49">
        <f t="shared" si="3"/>
        <v>0</v>
      </c>
    </row>
    <row r="36" spans="1:11" ht="16.5" thickBot="1" x14ac:dyDescent="0.3">
      <c r="A36" s="71"/>
      <c r="B36" s="71"/>
      <c r="C36" s="11">
        <v>0</v>
      </c>
      <c r="D36" s="72">
        <f t="shared" si="4"/>
        <v>0</v>
      </c>
      <c r="E36" s="54">
        <f t="shared" si="5"/>
        <v>0</v>
      </c>
      <c r="G36" s="73" t="s">
        <v>34</v>
      </c>
      <c r="H36" s="74"/>
      <c r="I36" s="74"/>
      <c r="J36" s="75">
        <f>SUM(J27:J35)</f>
        <v>0</v>
      </c>
      <c r="K36" s="76">
        <f>SUM(K27:K35)</f>
        <v>0</v>
      </c>
    </row>
    <row r="37" spans="1:11" x14ac:dyDescent="0.25">
      <c r="A37" s="106" t="s">
        <v>24</v>
      </c>
      <c r="B37" s="106"/>
      <c r="C37" s="106"/>
      <c r="D37" s="36">
        <f>SUM(D23:D36)</f>
        <v>0</v>
      </c>
      <c r="E37" s="77">
        <f>SUM(E28:E36)</f>
        <v>0</v>
      </c>
    </row>
    <row r="38" spans="1:11" x14ac:dyDescent="0.25">
      <c r="A38" s="1" t="s">
        <v>25</v>
      </c>
      <c r="B38" s="107"/>
      <c r="C38" s="107"/>
      <c r="D38" s="36">
        <f>D37*B38/100</f>
        <v>0</v>
      </c>
      <c r="E38" s="78"/>
    </row>
    <row r="39" spans="1:11" x14ac:dyDescent="0.25">
      <c r="A39" s="108" t="s">
        <v>35</v>
      </c>
      <c r="B39" s="108"/>
      <c r="C39" s="108"/>
      <c r="D39" s="41">
        <f>D37-D38</f>
        <v>0</v>
      </c>
      <c r="E39" s="79">
        <f>D39/0.8475</f>
        <v>0</v>
      </c>
    </row>
    <row r="42" spans="1:11" x14ac:dyDescent="0.25">
      <c r="A42" s="111" t="s">
        <v>36</v>
      </c>
      <c r="B42" s="111"/>
      <c r="C42" s="111"/>
      <c r="D42" s="111"/>
      <c r="E42" s="111"/>
      <c r="F42" s="111"/>
    </row>
    <row r="43" spans="1:11" x14ac:dyDescent="0.25">
      <c r="A43" s="80" t="s">
        <v>37</v>
      </c>
      <c r="B43" s="81"/>
      <c r="C43" s="82">
        <v>0</v>
      </c>
      <c r="D43" s="83">
        <f>C43*B43</f>
        <v>0</v>
      </c>
      <c r="E43" s="82"/>
      <c r="F43" s="82"/>
    </row>
    <row r="44" spans="1:11" x14ac:dyDescent="0.25">
      <c r="A44" s="11" t="s">
        <v>38</v>
      </c>
      <c r="B44" s="81"/>
      <c r="C44" s="82">
        <v>0</v>
      </c>
      <c r="D44" s="83">
        <f>C44*B44/0.8475</f>
        <v>0</v>
      </c>
      <c r="E44" s="13"/>
      <c r="F44" s="13"/>
    </row>
    <row r="45" spans="1:11" x14ac:dyDescent="0.25">
      <c r="A45" s="11" t="s">
        <v>39</v>
      </c>
      <c r="B45" s="81"/>
      <c r="C45" s="82">
        <v>0</v>
      </c>
      <c r="D45" s="83">
        <f>C45*B45/0.8475</f>
        <v>0</v>
      </c>
      <c r="E45" s="13"/>
      <c r="F45" s="13"/>
    </row>
    <row r="46" spans="1:11" x14ac:dyDescent="0.25">
      <c r="A46" s="11" t="s">
        <v>40</v>
      </c>
      <c r="B46" s="81"/>
      <c r="C46" s="82">
        <v>0</v>
      </c>
      <c r="D46" s="83">
        <f>C46*B46/0.8475</f>
        <v>0</v>
      </c>
      <c r="E46" s="13"/>
      <c r="F46" s="13"/>
    </row>
    <row r="47" spans="1:11" x14ac:dyDescent="0.25">
      <c r="A47" s="11" t="s">
        <v>41</v>
      </c>
      <c r="B47" s="81"/>
      <c r="C47" s="82">
        <v>0</v>
      </c>
      <c r="D47" s="83">
        <f>C47*B47</f>
        <v>0</v>
      </c>
      <c r="E47" s="13"/>
      <c r="F47" s="13"/>
    </row>
    <row r="48" spans="1:11" x14ac:dyDescent="0.25">
      <c r="A48" s="11" t="s">
        <v>42</v>
      </c>
      <c r="B48" s="81"/>
      <c r="C48" s="82">
        <v>0</v>
      </c>
      <c r="D48" s="83">
        <f>C48*B48</f>
        <v>0</v>
      </c>
      <c r="E48" s="13"/>
      <c r="F48" s="13"/>
    </row>
    <row r="49" spans="1:6" x14ac:dyDescent="0.25">
      <c r="A49" s="11" t="s">
        <v>43</v>
      </c>
      <c r="B49" s="81"/>
      <c r="C49" s="82">
        <v>0</v>
      </c>
      <c r="D49" s="83">
        <f>C49*B49</f>
        <v>0</v>
      </c>
      <c r="E49" s="13"/>
      <c r="F49" s="13"/>
    </row>
    <row r="50" spans="1:6" x14ac:dyDescent="0.25">
      <c r="A50" s="11"/>
      <c r="B50" s="12"/>
      <c r="C50" s="82">
        <v>0</v>
      </c>
      <c r="D50" s="84">
        <f>C50*B50</f>
        <v>0</v>
      </c>
      <c r="E50" s="13"/>
      <c r="F50" s="13"/>
    </row>
    <row r="51" spans="1:6" x14ac:dyDescent="0.25">
      <c r="A51" s="13"/>
      <c r="B51" s="12"/>
      <c r="C51" s="82">
        <v>0</v>
      </c>
      <c r="D51" s="84">
        <f>C51*B51</f>
        <v>0</v>
      </c>
      <c r="E51" s="13"/>
      <c r="F51" s="13"/>
    </row>
    <row r="52" spans="1:6" x14ac:dyDescent="0.25">
      <c r="A52" s="1" t="s">
        <v>24</v>
      </c>
      <c r="B52" s="77"/>
      <c r="C52" s="78"/>
      <c r="D52" s="85">
        <f>SUM(D43:D51)</f>
        <v>0</v>
      </c>
      <c r="E52" s="13"/>
      <c r="F52" s="13"/>
    </row>
    <row r="53" spans="1:6" x14ac:dyDescent="0.25">
      <c r="A53" s="1" t="s">
        <v>44</v>
      </c>
      <c r="B53" s="107">
        <v>0</v>
      </c>
      <c r="C53" s="107"/>
      <c r="D53" s="85">
        <f>D52*B53/100</f>
        <v>0</v>
      </c>
      <c r="E53" s="13"/>
      <c r="F53" s="13"/>
    </row>
    <row r="54" spans="1:6" x14ac:dyDescent="0.25">
      <c r="A54" s="112" t="s">
        <v>45</v>
      </c>
      <c r="B54" s="112"/>
      <c r="C54" s="112"/>
      <c r="D54" s="113">
        <f>D52-D53</f>
        <v>0</v>
      </c>
      <c r="E54" s="113"/>
      <c r="F54" s="78"/>
    </row>
    <row r="55" spans="1:6" x14ac:dyDescent="0.25">
      <c r="A55" s="13"/>
      <c r="B55" s="13"/>
      <c r="C55" s="13"/>
      <c r="D55" s="13"/>
      <c r="E55" s="13"/>
      <c r="F55" s="13"/>
    </row>
    <row r="58" spans="1:6" x14ac:dyDescent="0.25">
      <c r="A58" s="110" t="s">
        <v>10</v>
      </c>
      <c r="B58" s="110"/>
      <c r="C58" s="110"/>
      <c r="D58" s="110"/>
      <c r="E58" s="110"/>
      <c r="F58" s="110"/>
    </row>
    <row r="59" spans="1:6" x14ac:dyDescent="0.25">
      <c r="A59" s="13" t="s">
        <v>46</v>
      </c>
      <c r="B59" s="86"/>
      <c r="C59" s="13">
        <v>0</v>
      </c>
      <c r="D59" s="84">
        <f>C59*B59</f>
        <v>0</v>
      </c>
      <c r="E59" s="13"/>
      <c r="F59" s="13"/>
    </row>
    <row r="60" spans="1:6" x14ac:dyDescent="0.25">
      <c r="A60" s="13" t="s">
        <v>47</v>
      </c>
      <c r="B60" s="86"/>
      <c r="C60" s="13">
        <v>0</v>
      </c>
      <c r="D60" s="84">
        <f>C60*B60</f>
        <v>0</v>
      </c>
      <c r="E60" s="13"/>
      <c r="F60" s="13"/>
    </row>
    <row r="61" spans="1:6" x14ac:dyDescent="0.25">
      <c r="A61" s="13" t="s">
        <v>48</v>
      </c>
      <c r="B61" s="86"/>
      <c r="C61" s="13">
        <v>0</v>
      </c>
      <c r="D61" s="84">
        <f>C61*B61</f>
        <v>0</v>
      </c>
      <c r="E61" s="13"/>
      <c r="F61" s="13"/>
    </row>
    <row r="62" spans="1:6" x14ac:dyDescent="0.25">
      <c r="A62" s="13" t="s">
        <v>49</v>
      </c>
      <c r="B62" s="86"/>
      <c r="C62" s="13">
        <v>0</v>
      </c>
      <c r="D62" s="84">
        <f>C62*B62</f>
        <v>0</v>
      </c>
      <c r="E62" s="13"/>
      <c r="F62" s="13"/>
    </row>
    <row r="63" spans="1:6" x14ac:dyDescent="0.25">
      <c r="A63" s="13" t="s">
        <v>50</v>
      </c>
      <c r="B63" s="86"/>
      <c r="C63" s="13">
        <v>0</v>
      </c>
      <c r="D63" s="84">
        <f>C63*B63</f>
        <v>0</v>
      </c>
      <c r="E63" s="13"/>
      <c r="F63" s="13"/>
    </row>
    <row r="64" spans="1:6" x14ac:dyDescent="0.25">
      <c r="A64" s="13"/>
      <c r="B64" s="86"/>
      <c r="C64" s="13">
        <v>0</v>
      </c>
      <c r="D64" s="84">
        <f t="shared" ref="D64:D65" si="6">C64*B64</f>
        <v>0</v>
      </c>
      <c r="E64" s="13"/>
      <c r="F64" s="13"/>
    </row>
    <row r="65" spans="1:6" x14ac:dyDescent="0.25">
      <c r="A65" s="13"/>
      <c r="B65" s="86"/>
      <c r="C65" s="13">
        <v>0</v>
      </c>
      <c r="D65" s="84">
        <f t="shared" si="6"/>
        <v>0</v>
      </c>
      <c r="E65" s="13"/>
      <c r="F65" s="13"/>
    </row>
    <row r="66" spans="1:6" x14ac:dyDescent="0.25">
      <c r="A66" s="110" t="s">
        <v>23</v>
      </c>
      <c r="B66" s="110"/>
      <c r="C66" s="110"/>
      <c r="D66" s="87">
        <f>SUM(D59:D65)</f>
        <v>0</v>
      </c>
      <c r="E66" s="88"/>
      <c r="F66" s="88"/>
    </row>
    <row r="70" spans="1:6" x14ac:dyDescent="0.25">
      <c r="A70" s="89" t="s">
        <v>51</v>
      </c>
    </row>
    <row r="71" spans="1:6" x14ac:dyDescent="0.25">
      <c r="A71" s="90" t="s">
        <v>52</v>
      </c>
      <c r="B71" s="91" t="s">
        <v>53</v>
      </c>
      <c r="C71" s="92" t="s">
        <v>54</v>
      </c>
      <c r="D71" s="92" t="s">
        <v>55</v>
      </c>
      <c r="E71" s="93" t="s">
        <v>56</v>
      </c>
      <c r="F71" s="93" t="s">
        <v>57</v>
      </c>
    </row>
    <row r="72" spans="1:6" x14ac:dyDescent="0.25">
      <c r="A72" s="94"/>
      <c r="B72" s="95"/>
      <c r="C72" s="65"/>
      <c r="D72" s="13"/>
      <c r="E72" s="66"/>
      <c r="F72" s="96"/>
    </row>
    <row r="73" spans="1:6" x14ac:dyDescent="0.25">
      <c r="A73" s="94"/>
      <c r="B73" s="95"/>
      <c r="C73" s="13"/>
      <c r="D73" s="13"/>
      <c r="E73" s="66"/>
      <c r="F73" s="96"/>
    </row>
    <row r="74" spans="1:6" x14ac:dyDescent="0.25">
      <c r="A74" s="94"/>
      <c r="B74" s="95"/>
      <c r="C74" s="65"/>
      <c r="D74" s="13"/>
      <c r="E74" s="66"/>
      <c r="F74" s="96"/>
    </row>
    <row r="75" spans="1:6" x14ac:dyDescent="0.25">
      <c r="A75" s="94"/>
      <c r="B75" s="97"/>
      <c r="C75" s="13"/>
      <c r="D75" s="13"/>
      <c r="E75" s="13"/>
      <c r="F75" s="13"/>
    </row>
    <row r="76" spans="1:6" x14ac:dyDescent="0.25">
      <c r="A76" s="13"/>
      <c r="B76" s="13"/>
      <c r="C76" s="13"/>
      <c r="D76" s="13"/>
      <c r="E76" s="13"/>
      <c r="F76" s="13"/>
    </row>
    <row r="77" spans="1:6" x14ac:dyDescent="0.25">
      <c r="A77" s="13"/>
      <c r="B77" s="13"/>
      <c r="C77" s="13"/>
      <c r="D77" s="13"/>
      <c r="E77" s="13"/>
      <c r="F77" s="13"/>
    </row>
    <row r="79" spans="1:6" x14ac:dyDescent="0.25">
      <c r="A79" s="98" t="s">
        <v>58</v>
      </c>
      <c r="B79" s="98" t="s">
        <v>59</v>
      </c>
      <c r="C79" s="98" t="s">
        <v>60</v>
      </c>
      <c r="D79" s="98" t="s">
        <v>56</v>
      </c>
      <c r="E79" s="98" t="s">
        <v>22</v>
      </c>
      <c r="F79" s="98" t="s">
        <v>23</v>
      </c>
    </row>
    <row r="80" spans="1:6" x14ac:dyDescent="0.25">
      <c r="A80" s="11"/>
      <c r="B80" s="65"/>
      <c r="C80" s="99"/>
      <c r="D80" s="100"/>
      <c r="E80" s="100"/>
      <c r="F80" s="100"/>
    </row>
  </sheetData>
  <mergeCells count="21">
    <mergeCell ref="A66:C66"/>
    <mergeCell ref="A42:F42"/>
    <mergeCell ref="B53:C53"/>
    <mergeCell ref="A54:C54"/>
    <mergeCell ref="D54:E54"/>
    <mergeCell ref="A58:F58"/>
    <mergeCell ref="G25:K25"/>
    <mergeCell ref="A26:E26"/>
    <mergeCell ref="A37:C37"/>
    <mergeCell ref="B38:C38"/>
    <mergeCell ref="A39:C39"/>
    <mergeCell ref="G14:H14"/>
    <mergeCell ref="G15:H15"/>
    <mergeCell ref="A19:C19"/>
    <mergeCell ref="B20:C20"/>
    <mergeCell ref="A21:C21"/>
    <mergeCell ref="B2:C2"/>
    <mergeCell ref="A3:D3"/>
    <mergeCell ref="G3:L3"/>
    <mergeCell ref="G12:H12"/>
    <mergeCell ref="G13:H13"/>
  </mergeCells>
  <pageMargins left="0.75" right="0.75" top="1" bottom="1" header="0.511811023622047" footer="0.511811023622047"/>
  <pageSetup scale="3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 MEses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Brito Echeverria</dc:creator>
  <dc:description/>
  <cp:lastModifiedBy>Pallero, Williams E.</cp:lastModifiedBy>
  <cp:revision>6</cp:revision>
  <cp:lastPrinted>2026-05-06T04:49:34Z</cp:lastPrinted>
  <dcterms:created xsi:type="dcterms:W3CDTF">2014-10-28T18:30:52Z</dcterms:created>
  <dcterms:modified xsi:type="dcterms:W3CDTF">2026-05-20T04:25:14Z</dcterms:modified>
  <dc:language>es-ES</dc:language>
</cp:coreProperties>
</file>